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ajudeen\Downloads\"/>
    </mc:Choice>
  </mc:AlternateContent>
  <xr:revisionPtr revIDLastSave="0" documentId="13_ncr:1_{774086DA-1FED-426E-A0BA-336E485DC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2" i="1" l="1"/>
  <c r="E172" i="1"/>
  <c r="D172" i="1"/>
  <c r="F176" i="1" l="1"/>
  <c r="H2" i="1" s="1"/>
</calcChain>
</file>

<file path=xl/sharedStrings.xml><?xml version="1.0" encoding="utf-8"?>
<sst xmlns="http://schemas.openxmlformats.org/spreadsheetml/2006/main" count="178" uniqueCount="178">
  <si>
    <t>File Size (GB) in FileShare (Primary)</t>
  </si>
  <si>
    <t>File Size (GB) in FileShare (Secondary)</t>
  </si>
  <si>
    <t>NOVI6784</t>
  </si>
  <si>
    <t>GETH6009</t>
  </si>
  <si>
    <t>TONI7090</t>
  </si>
  <si>
    <t>COGN7880</t>
  </si>
  <si>
    <t>INFA3227</t>
  </si>
  <si>
    <t>INFA3227UB</t>
  </si>
  <si>
    <t>AESC2223</t>
  </si>
  <si>
    <t>ROCK8870</t>
  </si>
  <si>
    <t>ROCK8873</t>
  </si>
  <si>
    <t>TPTH8537</t>
  </si>
  <si>
    <t>ROCK8441</t>
  </si>
  <si>
    <t>TPTH0891</t>
  </si>
  <si>
    <t>TPTH9596</t>
  </si>
  <si>
    <t>TAIW8889</t>
  </si>
  <si>
    <t>MIRU0319</t>
  </si>
  <si>
    <t>AESC6602</t>
  </si>
  <si>
    <t>RARE8362</t>
  </si>
  <si>
    <t>HARP1172</t>
  </si>
  <si>
    <t>DENA1102</t>
  </si>
  <si>
    <t>TONI2646</t>
  </si>
  <si>
    <t>MIRU1086</t>
  </si>
  <si>
    <t>TELP3284</t>
  </si>
  <si>
    <t>ORGN0556</t>
  </si>
  <si>
    <t>ORGN0556UB</t>
  </si>
  <si>
    <t>PR123</t>
  </si>
  <si>
    <t>Study</t>
  </si>
  <si>
    <t>Room Name</t>
  </si>
  <si>
    <t>Index Size (25% of B+C)</t>
  </si>
  <si>
    <t>DB Size in GBs (Primary)</t>
  </si>
  <si>
    <t>DB Size in GBs (Secondary)</t>
  </si>
  <si>
    <t>TOTALs (GB)</t>
  </si>
  <si>
    <t>Premier Rooms</t>
  </si>
  <si>
    <t>Total Room Size (GB)</t>
  </si>
  <si>
    <t>MIRU1950</t>
  </si>
  <si>
    <t>OCTA3536</t>
  </si>
  <si>
    <t>HARP2380</t>
  </si>
  <si>
    <t>TECH5125</t>
  </si>
  <si>
    <t>INCY3222</t>
  </si>
  <si>
    <t>VIST5614</t>
  </si>
  <si>
    <t>VIST5613</t>
  </si>
  <si>
    <t>SUPE2618</t>
  </si>
  <si>
    <t>SUTR5604</t>
  </si>
  <si>
    <t>INRE4782</t>
  </si>
  <si>
    <t>INRE4782UB</t>
  </si>
  <si>
    <t>PSIO6208</t>
  </si>
  <si>
    <t>MINO6231UB</t>
  </si>
  <si>
    <t>MINO6231</t>
  </si>
  <si>
    <t>ZEAL7088</t>
  </si>
  <si>
    <t>ATAM8747</t>
  </si>
  <si>
    <t>REAL6282</t>
  </si>
  <si>
    <t>GRIN2146</t>
  </si>
  <si>
    <t>COGT6151</t>
  </si>
  <si>
    <t>PRIO6509</t>
  </si>
  <si>
    <t>PRIO6509UB</t>
  </si>
  <si>
    <t>DOMA5719</t>
  </si>
  <si>
    <t>OCTA8450</t>
  </si>
  <si>
    <t>OCTA8450UB</t>
  </si>
  <si>
    <t>PHCO7594</t>
  </si>
  <si>
    <t>INCY6559</t>
  </si>
  <si>
    <t>ORCH0457</t>
  </si>
  <si>
    <t>PROM9557</t>
  </si>
  <si>
    <t>VULM4923</t>
  </si>
  <si>
    <t>ROCK7831</t>
  </si>
  <si>
    <t>BENI3372</t>
  </si>
  <si>
    <t>INCO0026</t>
  </si>
  <si>
    <t>RARE7845UB</t>
  </si>
  <si>
    <t>RARE7845</t>
  </si>
  <si>
    <t>MAIN0740</t>
  </si>
  <si>
    <t>CORI6648</t>
  </si>
  <si>
    <t>MAIN3361</t>
  </si>
  <si>
    <t>CMPP9871</t>
  </si>
  <si>
    <t>SUTR0446</t>
  </si>
  <si>
    <t>NYKO4036</t>
  </si>
  <si>
    <t>SAIR1109</t>
  </si>
  <si>
    <t>CABI3899</t>
  </si>
  <si>
    <t>CORI6650</t>
  </si>
  <si>
    <t>NIMB2948</t>
  </si>
  <si>
    <t>ACAC6676UB</t>
  </si>
  <si>
    <t>ACAC6676</t>
  </si>
  <si>
    <t>MINO2495</t>
  </si>
  <si>
    <t xml:space="preserve">NEIS1564 </t>
  </si>
  <si>
    <t>NEIS1564UB</t>
  </si>
  <si>
    <t>SUTR0446UB</t>
  </si>
  <si>
    <t>NYKO5136UB</t>
  </si>
  <si>
    <t>GRIN1654</t>
  </si>
  <si>
    <t>TNX-CE-CI202</t>
  </si>
  <si>
    <t>TNX-CE-CI202UB</t>
  </si>
  <si>
    <t>MIRU1086UB</t>
  </si>
  <si>
    <t>GAIN6611</t>
  </si>
  <si>
    <t>GAIN6611UB</t>
  </si>
  <si>
    <t>SOLG5194</t>
  </si>
  <si>
    <t>CLCU2331</t>
  </si>
  <si>
    <t>OCTA7551</t>
  </si>
  <si>
    <t>OCTA7551UNBLINDED</t>
  </si>
  <si>
    <t>GENB2762</t>
  </si>
  <si>
    <t>BENI6455</t>
  </si>
  <si>
    <t>QEDT5587UB</t>
  </si>
  <si>
    <t>QEDT5587</t>
  </si>
  <si>
    <t>UNIV8080</t>
  </si>
  <si>
    <t>BION5988</t>
  </si>
  <si>
    <t>CHAR5298</t>
  </si>
  <si>
    <t>CHAR5298UB</t>
  </si>
  <si>
    <t>REAL6282UB</t>
  </si>
  <si>
    <t>IMMU5672</t>
  </si>
  <si>
    <t>MERS7796</t>
  </si>
  <si>
    <t>QEDT7165</t>
  </si>
  <si>
    <t>QEDT5587-Old</t>
  </si>
  <si>
    <t>POPU7392</t>
  </si>
  <si>
    <t>INTB5982</t>
  </si>
  <si>
    <t>VYNE8195</t>
  </si>
  <si>
    <t>VYNE8195UB</t>
  </si>
  <si>
    <t>LORE5071</t>
  </si>
  <si>
    <t>CTA Training Room</t>
  </si>
  <si>
    <t>INTT7793</t>
  </si>
  <si>
    <t>EYES3939</t>
  </si>
  <si>
    <t>2024 Demo Room 3.2</t>
  </si>
  <si>
    <t>ALLT8373</t>
  </si>
  <si>
    <t>ALLT8373UB</t>
  </si>
  <si>
    <t>IRON7416</t>
  </si>
  <si>
    <t>JAGU7798</t>
  </si>
  <si>
    <t>SECU7061</t>
  </si>
  <si>
    <t>SOLG5194UB</t>
  </si>
  <si>
    <t>NGMB6757</t>
  </si>
  <si>
    <t>NOTR1234</t>
  </si>
  <si>
    <t>GAIN9252</t>
  </si>
  <si>
    <t>DELF8923</t>
  </si>
  <si>
    <t>ELGA8005</t>
  </si>
  <si>
    <t>CAIN8449</t>
  </si>
  <si>
    <t>CABI9794</t>
  </si>
  <si>
    <t>VAND8397</t>
  </si>
  <si>
    <t>ELGA8220</t>
  </si>
  <si>
    <t>BIPH4937UB</t>
  </si>
  <si>
    <t>BIPH7727UB</t>
  </si>
  <si>
    <t>EVOM9334</t>
  </si>
  <si>
    <t>BIPH4937</t>
  </si>
  <si>
    <t>VAND9678</t>
  </si>
  <si>
    <t>ELGA8464</t>
  </si>
  <si>
    <t>BIPH7727</t>
  </si>
  <si>
    <t>ELIL9677</t>
  </si>
  <si>
    <t>BIPH8018</t>
  </si>
  <si>
    <t>BIPH8088</t>
  </si>
  <si>
    <t>SEAP9224</t>
  </si>
  <si>
    <t>SEAP9224UB</t>
  </si>
  <si>
    <t>EXAC7802</t>
  </si>
  <si>
    <t>CAIN9085</t>
  </si>
  <si>
    <t>QEDT8636</t>
  </si>
  <si>
    <t>BIPH9762</t>
  </si>
  <si>
    <t>MAIN9231</t>
  </si>
  <si>
    <t>ORCH9187</t>
  </si>
  <si>
    <t>CAPB9782</t>
  </si>
  <si>
    <t>CAIN8968</t>
  </si>
  <si>
    <t>BIXL0383</t>
  </si>
  <si>
    <t>GAIN9908</t>
  </si>
  <si>
    <t>ORUK0033</t>
  </si>
  <si>
    <t>RATH9930</t>
  </si>
  <si>
    <t>SENT9907</t>
  </si>
  <si>
    <t>CURS9859</t>
  </si>
  <si>
    <t>ACOT0566</t>
  </si>
  <si>
    <t>EVOM9822</t>
  </si>
  <si>
    <t>FRIE9383</t>
  </si>
  <si>
    <t>NODI8184</t>
  </si>
  <si>
    <t>MINO2495UB</t>
  </si>
  <si>
    <t>IRON7416UB</t>
  </si>
  <si>
    <t>RATH9930UB</t>
  </si>
  <si>
    <t>SEAP0024</t>
  </si>
  <si>
    <t>QEDT9960</t>
  </si>
  <si>
    <t>QEDT9960UB</t>
  </si>
  <si>
    <t>IP-IL-03</t>
  </si>
  <si>
    <t>KRIY0352</t>
  </si>
  <si>
    <t>FELI6789</t>
  </si>
  <si>
    <t>VAND0769</t>
  </si>
  <si>
    <t>ARCU0947</t>
  </si>
  <si>
    <t>ORUK0035</t>
  </si>
  <si>
    <t>REAC0621</t>
  </si>
  <si>
    <t>QEDT0896</t>
  </si>
  <si>
    <t>NEWL9423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</si>
</sst>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tabSelected="1" zoomScale="96" workbookViewId="0">
      <selection activeCell="H2" sqref="H2"/>
    </sheetView>
  </sheetViews>
  <sheetFormatPr defaultColWidth="8.88671875" defaultRowHeight="14.4" x14ac:dyDescent="0.3"/>
  <cols>
    <col min="1" max="1" width="14.6640625" style="9" customWidth="1"/>
    <col min="2" max="2" width="28.33203125" style="9" customWidth="1"/>
    <col min="3" max="3" width="35.88671875" style="9" customWidth="1"/>
    <col min="4" max="4" width="24" style="9" customWidth="1"/>
    <col min="5" max="5" width="40.44140625" style="9" customWidth="1"/>
    <col min="6" max="6" width="18.6640625" style="9" customWidth="1"/>
    <col min="7" max="7" width="20" style="9" customWidth="1"/>
    <col min="8" max="8" width="16.6640625" style="9" bestFit="1" customWidth="1"/>
    <col min="9" max="16384" width="8.88671875" style="9"/>
  </cols>
  <sheetData>
    <row r="1" spans="1:8" s="4" customFormat="1" ht="15" thickBot="1" x14ac:dyDescent="0.35">
      <c r="A1" s="1" t="s">
        <v>27</v>
      </c>
      <c r="B1" s="1" t="s">
        <v>28</v>
      </c>
      <c r="C1" s="1" t="s">
        <v>0</v>
      </c>
      <c r="D1" s="1" t="s">
        <v>1</v>
      </c>
      <c r="E1" s="1" t="s">
        <v>29</v>
      </c>
      <c r="F1" s="1" t="s">
        <v>30</v>
      </c>
      <c r="G1" s="2" t="s">
        <v>31</v>
      </c>
      <c r="H1" s="3" t="s">
        <v>32</v>
      </c>
    </row>
    <row r="2" spans="1:8" s="7" customFormat="1" ht="15" thickBot="1" x14ac:dyDescent="0.35">
      <c r="A2" s="5" t="s">
        <v>33</v>
      </c>
      <c r="B2" s="5"/>
      <c r="C2" s="6"/>
      <c r="D2" s="6"/>
      <c r="E2" s="6"/>
      <c r="F2" s="6">
        <v>2374.7399999999998</v>
      </c>
      <c r="G2" s="6">
        <v>2374.7399999999998</v>
      </c>
      <c r="H2" s="8">
        <f>SUM(F2:G2,F176)</f>
        <v>7124.2231559999982</v>
      </c>
    </row>
    <row r="3" spans="1:8" s="7" customFormat="1" x14ac:dyDescent="0.3">
      <c r="B3" s="7" t="s">
        <v>2</v>
      </c>
      <c r="C3" s="11">
        <v>19.309035000000002</v>
      </c>
      <c r="D3" s="11">
        <v>19.309035000000002</v>
      </c>
      <c r="E3" s="11">
        <v>9.6545170000000002</v>
      </c>
      <c r="F3" s="11"/>
      <c r="G3" s="11"/>
      <c r="H3" s="11"/>
    </row>
    <row r="4" spans="1:8" s="7" customFormat="1" x14ac:dyDescent="0.3">
      <c r="B4" s="7" t="s">
        <v>3</v>
      </c>
      <c r="C4" s="11">
        <v>9.4902920000000002</v>
      </c>
      <c r="D4" s="11">
        <v>9.4902920000000002</v>
      </c>
      <c r="E4" s="11">
        <v>4.7451460000000001</v>
      </c>
      <c r="F4" s="11"/>
      <c r="G4" s="11"/>
      <c r="H4" s="11"/>
    </row>
    <row r="5" spans="1:8" s="7" customFormat="1" x14ac:dyDescent="0.3">
      <c r="B5" s="7" t="s">
        <v>4</v>
      </c>
      <c r="C5" s="11">
        <v>3.8855309999999998</v>
      </c>
      <c r="D5" s="11">
        <v>3.8855309999999998</v>
      </c>
      <c r="E5" s="11">
        <v>1.9427650000000001</v>
      </c>
      <c r="F5" s="11"/>
      <c r="G5" s="11"/>
      <c r="H5" s="11"/>
    </row>
    <row r="6" spans="1:8" s="7" customFormat="1" x14ac:dyDescent="0.3">
      <c r="B6" s="7" t="s">
        <v>5</v>
      </c>
      <c r="C6" s="11">
        <v>13.765254000000001</v>
      </c>
      <c r="D6" s="11">
        <v>13.765254000000001</v>
      </c>
      <c r="E6" s="11">
        <v>6.8826270000000003</v>
      </c>
      <c r="F6" s="11"/>
      <c r="G6" s="11"/>
      <c r="H6" s="11"/>
    </row>
    <row r="7" spans="1:8" s="7" customFormat="1" x14ac:dyDescent="0.3">
      <c r="B7" s="7" t="s">
        <v>49</v>
      </c>
      <c r="C7" s="11">
        <v>15.692591999999999</v>
      </c>
      <c r="D7" s="11">
        <v>15.692591999999999</v>
      </c>
      <c r="E7" s="11">
        <v>7.8462959999999997</v>
      </c>
      <c r="F7" s="11"/>
      <c r="G7" s="11"/>
      <c r="H7" s="11"/>
    </row>
    <row r="8" spans="1:8" s="7" customFormat="1" x14ac:dyDescent="0.3">
      <c r="B8" s="7" t="s">
        <v>6</v>
      </c>
      <c r="C8" s="11">
        <v>30.020835000000002</v>
      </c>
      <c r="D8" s="11">
        <v>30.020835000000002</v>
      </c>
      <c r="E8" s="11">
        <v>15.010417</v>
      </c>
      <c r="F8" s="11"/>
      <c r="G8" s="11"/>
      <c r="H8" s="11"/>
    </row>
    <row r="9" spans="1:8" s="7" customFormat="1" x14ac:dyDescent="0.3">
      <c r="B9" s="7" t="s">
        <v>7</v>
      </c>
      <c r="C9" s="11">
        <v>11.424851</v>
      </c>
      <c r="D9" s="11">
        <v>11.424851</v>
      </c>
      <c r="E9" s="11">
        <v>5.7124249999999996</v>
      </c>
      <c r="F9" s="11"/>
      <c r="G9" s="11"/>
      <c r="H9" s="11"/>
    </row>
    <row r="10" spans="1:8" s="7" customFormat="1" x14ac:dyDescent="0.3">
      <c r="B10" s="7" t="s">
        <v>8</v>
      </c>
      <c r="C10" s="11">
        <v>13.058536999999999</v>
      </c>
      <c r="D10" s="11">
        <v>13.058536999999999</v>
      </c>
      <c r="E10" s="11">
        <v>6.5292680000000001</v>
      </c>
      <c r="F10" s="11"/>
      <c r="G10" s="11"/>
      <c r="H10" s="11"/>
    </row>
    <row r="11" spans="1:8" s="7" customFormat="1" x14ac:dyDescent="0.3">
      <c r="B11" s="7" t="s">
        <v>9</v>
      </c>
      <c r="C11" s="11">
        <v>1.341755</v>
      </c>
      <c r="D11" s="11">
        <v>1.341755</v>
      </c>
      <c r="E11" s="11">
        <v>0.67087699999999995</v>
      </c>
      <c r="F11" s="11"/>
      <c r="G11" s="11"/>
      <c r="H11" s="11"/>
    </row>
    <row r="12" spans="1:8" s="7" customFormat="1" x14ac:dyDescent="0.3">
      <c r="B12" s="7" t="s">
        <v>10</v>
      </c>
      <c r="C12" s="11">
        <v>3.5187270000000002</v>
      </c>
      <c r="D12" s="11">
        <v>3.5187270000000002</v>
      </c>
      <c r="E12" s="11">
        <v>1.759363</v>
      </c>
      <c r="F12" s="11"/>
      <c r="G12" s="11"/>
      <c r="H12" s="11"/>
    </row>
    <row r="13" spans="1:8" s="7" customFormat="1" x14ac:dyDescent="0.3">
      <c r="B13" s="7" t="s">
        <v>12</v>
      </c>
      <c r="C13" s="11">
        <v>1.242324</v>
      </c>
      <c r="D13" s="11">
        <v>1.242324</v>
      </c>
      <c r="E13" s="11">
        <v>0.62116199999999999</v>
      </c>
      <c r="F13" s="11"/>
      <c r="G13" s="11"/>
      <c r="H13" s="11"/>
    </row>
    <row r="14" spans="1:8" s="7" customFormat="1" x14ac:dyDescent="0.3">
      <c r="B14" s="7" t="s">
        <v>15</v>
      </c>
      <c r="C14" s="11">
        <v>25.5779</v>
      </c>
      <c r="D14" s="11">
        <v>25.5779</v>
      </c>
      <c r="E14" s="11">
        <v>12.78895</v>
      </c>
      <c r="F14" s="11"/>
      <c r="G14" s="11"/>
      <c r="H14" s="11"/>
    </row>
    <row r="15" spans="1:8" s="7" customFormat="1" x14ac:dyDescent="0.3">
      <c r="B15" s="7" t="s">
        <v>16</v>
      </c>
      <c r="C15" s="11">
        <v>36.082836</v>
      </c>
      <c r="D15" s="11">
        <v>36.082836</v>
      </c>
      <c r="E15" s="11">
        <v>18.041418</v>
      </c>
      <c r="F15" s="11"/>
      <c r="G15" s="11"/>
      <c r="H15" s="11"/>
    </row>
    <row r="16" spans="1:8" s="7" customFormat="1" x14ac:dyDescent="0.3">
      <c r="B16" s="7" t="s">
        <v>17</v>
      </c>
      <c r="C16" s="11">
        <v>1.3152699999999999</v>
      </c>
      <c r="D16" s="11">
        <v>1.3152699999999999</v>
      </c>
      <c r="E16" s="11">
        <v>0.65763499999999997</v>
      </c>
      <c r="F16" s="11"/>
      <c r="G16" s="11"/>
      <c r="H16" s="11"/>
    </row>
    <row r="17" spans="2:8" s="7" customFormat="1" x14ac:dyDescent="0.3">
      <c r="B17" s="7" t="s">
        <v>18</v>
      </c>
      <c r="C17" s="11">
        <v>7.5364519999999997</v>
      </c>
      <c r="D17" s="11">
        <v>7.5364519999999997</v>
      </c>
      <c r="E17" s="11">
        <v>3.7682259999999999</v>
      </c>
      <c r="F17" s="11"/>
      <c r="G17" s="11"/>
      <c r="H17" s="11"/>
    </row>
    <row r="18" spans="2:8" s="7" customFormat="1" x14ac:dyDescent="0.3">
      <c r="B18" s="7" t="s">
        <v>19</v>
      </c>
      <c r="C18" s="11">
        <v>12.117585999999999</v>
      </c>
      <c r="D18" s="11">
        <v>12.117585999999999</v>
      </c>
      <c r="E18" s="11">
        <v>6.0587929999999997</v>
      </c>
      <c r="F18" s="11"/>
      <c r="G18" s="11"/>
      <c r="H18" s="11"/>
    </row>
    <row r="19" spans="2:8" s="7" customFormat="1" x14ac:dyDescent="0.3">
      <c r="B19" s="7" t="s">
        <v>20</v>
      </c>
      <c r="C19" s="11">
        <v>30.004966</v>
      </c>
      <c r="D19" s="11">
        <v>30.004966</v>
      </c>
      <c r="E19" s="11">
        <v>15.002483</v>
      </c>
      <c r="F19" s="11"/>
      <c r="G19" s="11"/>
      <c r="H19" s="11"/>
    </row>
    <row r="20" spans="2:8" s="7" customFormat="1" x14ac:dyDescent="0.3">
      <c r="B20" s="7" t="s">
        <v>21</v>
      </c>
      <c r="C20" s="11">
        <v>8.2243820000000003</v>
      </c>
      <c r="D20" s="11">
        <v>8.2243820000000003</v>
      </c>
      <c r="E20" s="11">
        <v>4.1121910000000002</v>
      </c>
      <c r="F20" s="11"/>
      <c r="G20" s="11"/>
      <c r="H20" s="11"/>
    </row>
    <row r="21" spans="2:8" s="7" customFormat="1" x14ac:dyDescent="0.3">
      <c r="B21" s="7" t="s">
        <v>22</v>
      </c>
      <c r="C21" s="11">
        <v>32.712294999999997</v>
      </c>
      <c r="D21" s="11">
        <v>32.712294999999997</v>
      </c>
      <c r="E21" s="11">
        <v>16.356147</v>
      </c>
      <c r="F21" s="11"/>
      <c r="G21" s="11"/>
      <c r="H21" s="11"/>
    </row>
    <row r="22" spans="2:8" s="7" customFormat="1" x14ac:dyDescent="0.3">
      <c r="B22" s="7" t="s">
        <v>23</v>
      </c>
      <c r="C22" s="11">
        <v>14.743562000000001</v>
      </c>
      <c r="D22" s="11">
        <v>14.743562000000001</v>
      </c>
      <c r="E22" s="11">
        <v>7.3717810000000004</v>
      </c>
      <c r="F22" s="11"/>
      <c r="G22" s="11"/>
      <c r="H22" s="11"/>
    </row>
    <row r="23" spans="2:8" s="7" customFormat="1" x14ac:dyDescent="0.3">
      <c r="B23" s="7" t="s">
        <v>24</v>
      </c>
      <c r="C23" s="11">
        <v>5.7870999999999997</v>
      </c>
      <c r="D23" s="11">
        <v>5.7870999999999997</v>
      </c>
      <c r="E23" s="11">
        <v>2.8935499999999998</v>
      </c>
      <c r="F23" s="11"/>
      <c r="G23" s="11"/>
      <c r="H23" s="11"/>
    </row>
    <row r="24" spans="2:8" s="7" customFormat="1" x14ac:dyDescent="0.3">
      <c r="B24" s="7" t="s">
        <v>25</v>
      </c>
      <c r="C24" s="11">
        <v>0.31093399999999999</v>
      </c>
      <c r="D24" s="11">
        <v>0.31093399999999999</v>
      </c>
      <c r="E24" s="11">
        <v>0.15546699999999999</v>
      </c>
      <c r="F24" s="11"/>
      <c r="G24" s="11"/>
      <c r="H24" s="11"/>
    </row>
    <row r="25" spans="2:8" s="7" customFormat="1" x14ac:dyDescent="0.3">
      <c r="B25" s="7" t="s">
        <v>35</v>
      </c>
      <c r="C25" s="11">
        <v>11.377922999999999</v>
      </c>
      <c r="D25" s="11">
        <v>11.377922999999999</v>
      </c>
      <c r="E25" s="11">
        <v>5.6889609999999999</v>
      </c>
      <c r="F25" s="11"/>
      <c r="G25" s="11"/>
      <c r="H25" s="11"/>
    </row>
    <row r="26" spans="2:8" s="7" customFormat="1" x14ac:dyDescent="0.3">
      <c r="B26" s="7" t="s">
        <v>36</v>
      </c>
      <c r="C26" s="11">
        <v>14.111202</v>
      </c>
      <c r="D26" s="11">
        <v>14.111202</v>
      </c>
      <c r="E26" s="11">
        <v>7.0556010000000002</v>
      </c>
      <c r="F26" s="11"/>
      <c r="G26" s="11"/>
      <c r="H26" s="11"/>
    </row>
    <row r="27" spans="2:8" s="7" customFormat="1" x14ac:dyDescent="0.3">
      <c r="B27" s="7" t="s">
        <v>37</v>
      </c>
      <c r="C27" s="11">
        <v>8.9941049999999994</v>
      </c>
      <c r="D27" s="11">
        <v>8.9941049999999994</v>
      </c>
      <c r="E27" s="11">
        <v>4.497052</v>
      </c>
      <c r="F27" s="11"/>
      <c r="G27" s="11"/>
      <c r="H27" s="11"/>
    </row>
    <row r="28" spans="2:8" s="7" customFormat="1" x14ac:dyDescent="0.3">
      <c r="B28" s="7" t="s">
        <v>38</v>
      </c>
      <c r="C28" s="11">
        <v>7.1611320000000003</v>
      </c>
      <c r="D28" s="11">
        <v>7.1611320000000003</v>
      </c>
      <c r="E28" s="11">
        <v>3.5805660000000001</v>
      </c>
      <c r="F28" s="11"/>
      <c r="G28" s="11"/>
      <c r="H28" s="11"/>
    </row>
    <row r="29" spans="2:8" s="7" customFormat="1" x14ac:dyDescent="0.3">
      <c r="B29" s="7" t="s">
        <v>39</v>
      </c>
      <c r="C29" s="11">
        <v>7.798762</v>
      </c>
      <c r="D29" s="11">
        <v>7.798762</v>
      </c>
      <c r="E29" s="11">
        <v>3.899381</v>
      </c>
      <c r="F29" s="11"/>
      <c r="G29" s="11"/>
      <c r="H29" s="11"/>
    </row>
    <row r="30" spans="2:8" s="7" customFormat="1" x14ac:dyDescent="0.3">
      <c r="B30" s="7" t="s">
        <v>40</v>
      </c>
      <c r="C30" s="11">
        <v>3.4238089999999999</v>
      </c>
      <c r="D30" s="11">
        <v>3.4238089999999999</v>
      </c>
      <c r="E30" s="11">
        <v>1.7119040000000001</v>
      </c>
      <c r="F30" s="11"/>
      <c r="G30" s="11"/>
      <c r="H30" s="11"/>
    </row>
    <row r="31" spans="2:8" s="7" customFormat="1" x14ac:dyDescent="0.3">
      <c r="B31" s="7" t="s">
        <v>41</v>
      </c>
      <c r="C31" s="11">
        <v>8.2637149999999995</v>
      </c>
      <c r="D31" s="11">
        <v>8.2637149999999995</v>
      </c>
      <c r="E31" s="11">
        <v>4.1318570000000001</v>
      </c>
      <c r="F31" s="11"/>
      <c r="G31" s="11"/>
      <c r="H31" s="11"/>
    </row>
    <row r="32" spans="2:8" s="7" customFormat="1" x14ac:dyDescent="0.3">
      <c r="B32" s="7" t="s">
        <v>42</v>
      </c>
      <c r="C32" s="11">
        <v>12.214746</v>
      </c>
      <c r="D32" s="11">
        <v>12.214746</v>
      </c>
      <c r="E32" s="11">
        <v>6.1073729999999999</v>
      </c>
      <c r="F32" s="11"/>
      <c r="G32" s="11"/>
      <c r="H32" s="11"/>
    </row>
    <row r="33" spans="2:8" s="7" customFormat="1" x14ac:dyDescent="0.3">
      <c r="B33" s="7" t="s">
        <v>43</v>
      </c>
      <c r="C33" s="11">
        <v>10.294577</v>
      </c>
      <c r="D33" s="11">
        <v>10.294577</v>
      </c>
      <c r="E33" s="11">
        <v>5.1472879999999996</v>
      </c>
      <c r="F33" s="11"/>
      <c r="G33" s="11"/>
      <c r="H33" s="11"/>
    </row>
    <row r="34" spans="2:8" s="7" customFormat="1" x14ac:dyDescent="0.3">
      <c r="B34" s="7" t="s">
        <v>44</v>
      </c>
      <c r="C34" s="11">
        <v>15.270234</v>
      </c>
      <c r="D34" s="11">
        <v>15.270234</v>
      </c>
      <c r="E34" s="11">
        <v>7.6351170000000002</v>
      </c>
      <c r="F34" s="11"/>
      <c r="G34" s="11"/>
      <c r="H34" s="11"/>
    </row>
    <row r="35" spans="2:8" s="7" customFormat="1" x14ac:dyDescent="0.3">
      <c r="B35" s="7" t="s">
        <v>45</v>
      </c>
      <c r="C35" s="11">
        <v>4.9258000000000003E-2</v>
      </c>
      <c r="D35" s="11">
        <v>4.9258000000000003E-2</v>
      </c>
      <c r="E35" s="11">
        <v>2.4629000000000002E-2</v>
      </c>
      <c r="F35" s="11"/>
      <c r="G35" s="11"/>
      <c r="H35" s="11"/>
    </row>
    <row r="36" spans="2:8" s="7" customFormat="1" x14ac:dyDescent="0.3">
      <c r="B36" s="7" t="s">
        <v>46</v>
      </c>
      <c r="C36" s="11">
        <v>2.9713310000000002</v>
      </c>
      <c r="D36" s="11">
        <v>2.9713310000000002</v>
      </c>
      <c r="E36" s="11">
        <v>1.485665</v>
      </c>
      <c r="F36" s="11"/>
      <c r="G36" s="11"/>
      <c r="H36" s="11"/>
    </row>
    <row r="37" spans="2:8" s="7" customFormat="1" x14ac:dyDescent="0.3">
      <c r="B37" s="7" t="s">
        <v>47</v>
      </c>
      <c r="C37" s="11">
        <v>9.2668E-2</v>
      </c>
      <c r="D37" s="11">
        <v>9.2668E-2</v>
      </c>
      <c r="E37" s="11">
        <v>4.6334E-2</v>
      </c>
      <c r="F37" s="11"/>
      <c r="G37" s="11"/>
      <c r="H37" s="11"/>
    </row>
    <row r="38" spans="2:8" s="7" customFormat="1" x14ac:dyDescent="0.3">
      <c r="B38" s="7" t="s">
        <v>48</v>
      </c>
      <c r="C38" s="11">
        <v>15.342729</v>
      </c>
      <c r="D38" s="11">
        <v>15.342729</v>
      </c>
      <c r="E38" s="11">
        <v>7.6713639999999996</v>
      </c>
      <c r="F38" s="11"/>
      <c r="G38" s="11"/>
      <c r="H38" s="11"/>
    </row>
    <row r="39" spans="2:8" s="7" customFormat="1" x14ac:dyDescent="0.3">
      <c r="B39" s="7" t="s">
        <v>50</v>
      </c>
      <c r="C39" s="11">
        <v>2.600298</v>
      </c>
      <c r="D39" s="11">
        <v>2.600298</v>
      </c>
      <c r="E39" s="11">
        <v>1.300149</v>
      </c>
      <c r="F39" s="11"/>
      <c r="G39" s="11"/>
      <c r="H39" s="11"/>
    </row>
    <row r="40" spans="2:8" s="7" customFormat="1" x14ac:dyDescent="0.3">
      <c r="B40" s="7" t="s">
        <v>51</v>
      </c>
      <c r="C40" s="11">
        <v>3.3322509999999999</v>
      </c>
      <c r="D40" s="11">
        <v>3.3322509999999999</v>
      </c>
      <c r="E40" s="11">
        <v>1.6661250000000001</v>
      </c>
      <c r="F40" s="11"/>
      <c r="G40" s="11"/>
      <c r="H40" s="11"/>
    </row>
    <row r="41" spans="2:8" s="7" customFormat="1" x14ac:dyDescent="0.3">
      <c r="B41" s="7" t="s">
        <v>52</v>
      </c>
      <c r="C41" s="11">
        <v>10.715907</v>
      </c>
      <c r="D41" s="11">
        <v>10.715907</v>
      </c>
      <c r="E41" s="11">
        <v>5.3579530000000002</v>
      </c>
      <c r="F41" s="11"/>
      <c r="G41" s="11"/>
      <c r="H41" s="11"/>
    </row>
    <row r="42" spans="2:8" s="7" customFormat="1" x14ac:dyDescent="0.3">
      <c r="B42" s="7" t="s">
        <v>53</v>
      </c>
      <c r="C42" s="11">
        <v>20.117287999999999</v>
      </c>
      <c r="D42" s="11">
        <v>20.117287999999999</v>
      </c>
      <c r="E42" s="11">
        <v>10.058643999999999</v>
      </c>
      <c r="F42" s="11"/>
      <c r="G42" s="11"/>
      <c r="H42" s="11"/>
    </row>
    <row r="43" spans="2:8" s="7" customFormat="1" x14ac:dyDescent="0.3">
      <c r="B43" s="7" t="s">
        <v>54</v>
      </c>
      <c r="C43" s="11">
        <v>70.337339999999998</v>
      </c>
      <c r="D43" s="11">
        <v>70.337339999999998</v>
      </c>
      <c r="E43" s="11">
        <v>35.168669999999999</v>
      </c>
      <c r="F43" s="11"/>
      <c r="G43" s="11"/>
      <c r="H43" s="11"/>
    </row>
    <row r="44" spans="2:8" s="7" customFormat="1" x14ac:dyDescent="0.3">
      <c r="B44" s="7" t="s">
        <v>55</v>
      </c>
      <c r="C44" s="11">
        <v>1.573906</v>
      </c>
      <c r="D44" s="11">
        <v>1.573906</v>
      </c>
      <c r="E44" s="11">
        <v>0.78695300000000001</v>
      </c>
      <c r="F44" s="11"/>
      <c r="G44" s="11"/>
      <c r="H44" s="11"/>
    </row>
    <row r="45" spans="2:8" s="7" customFormat="1" x14ac:dyDescent="0.3">
      <c r="B45" s="7" t="s">
        <v>56</v>
      </c>
      <c r="C45" s="11">
        <v>5.715077</v>
      </c>
      <c r="D45" s="11">
        <v>5.715077</v>
      </c>
      <c r="E45" s="11">
        <v>2.8575379999999999</v>
      </c>
      <c r="F45" s="11"/>
      <c r="G45" s="11"/>
      <c r="H45" s="11"/>
    </row>
    <row r="46" spans="2:8" s="7" customFormat="1" x14ac:dyDescent="0.3">
      <c r="B46" s="7" t="s">
        <v>57</v>
      </c>
      <c r="C46" s="11">
        <v>15.907233</v>
      </c>
      <c r="D46" s="11">
        <v>15.907233</v>
      </c>
      <c r="E46" s="11">
        <v>7.9536160000000002</v>
      </c>
      <c r="F46" s="11"/>
      <c r="G46" s="11"/>
      <c r="H46" s="11"/>
    </row>
    <row r="47" spans="2:8" s="7" customFormat="1" x14ac:dyDescent="0.3">
      <c r="B47" s="7" t="s">
        <v>58</v>
      </c>
      <c r="C47" s="11">
        <v>2.3600110000000001</v>
      </c>
      <c r="D47" s="11">
        <v>2.3600110000000001</v>
      </c>
      <c r="E47" s="11">
        <v>1.180005</v>
      </c>
      <c r="F47" s="11"/>
      <c r="G47" s="11"/>
      <c r="H47" s="11"/>
    </row>
    <row r="48" spans="2:8" s="7" customFormat="1" x14ac:dyDescent="0.3">
      <c r="B48" s="7" t="s">
        <v>59</v>
      </c>
      <c r="C48" s="11">
        <v>3.9109060000000002</v>
      </c>
      <c r="D48" s="11">
        <v>3.9109060000000002</v>
      </c>
      <c r="E48" s="11">
        <v>1.9554530000000001</v>
      </c>
      <c r="F48" s="11"/>
      <c r="G48" s="11"/>
      <c r="H48" s="11"/>
    </row>
    <row r="49" spans="2:8" s="7" customFormat="1" x14ac:dyDescent="0.3">
      <c r="B49" s="7" t="s">
        <v>11</v>
      </c>
      <c r="C49" s="11">
        <v>67.036953999999994</v>
      </c>
      <c r="D49" s="11">
        <v>67.036953999999994</v>
      </c>
      <c r="E49" s="11">
        <v>33.518476999999997</v>
      </c>
      <c r="F49" s="11"/>
      <c r="G49" s="11"/>
      <c r="H49" s="11"/>
    </row>
    <row r="50" spans="2:8" s="7" customFormat="1" x14ac:dyDescent="0.3">
      <c r="B50" s="7" t="s">
        <v>60</v>
      </c>
      <c r="C50" s="11">
        <v>4.6648040000000002</v>
      </c>
      <c r="D50" s="11">
        <v>4.6648040000000002</v>
      </c>
      <c r="E50" s="11">
        <v>2.3324020000000001</v>
      </c>
      <c r="F50" s="11"/>
      <c r="G50" s="11"/>
      <c r="H50" s="11"/>
    </row>
    <row r="51" spans="2:8" s="7" customFormat="1" x14ac:dyDescent="0.3">
      <c r="B51" s="7" t="s">
        <v>106</v>
      </c>
      <c r="C51" s="11">
        <v>7.0467979999999999</v>
      </c>
      <c r="D51" s="11">
        <v>7.0467979999999999</v>
      </c>
      <c r="E51" s="11">
        <v>3.5233989999999999</v>
      </c>
      <c r="F51" s="11"/>
      <c r="G51" s="11"/>
      <c r="H51" s="11"/>
    </row>
    <row r="52" spans="2:8" s="7" customFormat="1" x14ac:dyDescent="0.3">
      <c r="B52" s="7" t="s">
        <v>61</v>
      </c>
      <c r="C52" s="11">
        <v>1.3403339999999999</v>
      </c>
      <c r="D52" s="11">
        <v>1.3403339999999999</v>
      </c>
      <c r="E52" s="11">
        <v>0.67016699999999996</v>
      </c>
      <c r="F52" s="11"/>
      <c r="G52" s="11"/>
      <c r="H52" s="11"/>
    </row>
    <row r="53" spans="2:8" s="7" customFormat="1" x14ac:dyDescent="0.3">
      <c r="B53" s="7" t="s">
        <v>62</v>
      </c>
      <c r="C53" s="11">
        <v>1.611145</v>
      </c>
      <c r="D53" s="11">
        <v>1.611145</v>
      </c>
      <c r="E53" s="11">
        <v>0.80557199999999995</v>
      </c>
      <c r="F53" s="11"/>
      <c r="G53" s="11"/>
      <c r="H53" s="11"/>
    </row>
    <row r="54" spans="2:8" s="7" customFormat="1" x14ac:dyDescent="0.3">
      <c r="B54" s="7" t="s">
        <v>63</v>
      </c>
      <c r="C54" s="11">
        <v>5.6645349999999999</v>
      </c>
      <c r="D54" s="11">
        <v>5.6645349999999999</v>
      </c>
      <c r="E54" s="11">
        <v>2.8322669999999999</v>
      </c>
      <c r="F54" s="11"/>
      <c r="G54" s="11"/>
      <c r="H54" s="11"/>
    </row>
    <row r="55" spans="2:8" s="7" customFormat="1" x14ac:dyDescent="0.3">
      <c r="B55" s="7" t="s">
        <v>64</v>
      </c>
      <c r="C55" s="11">
        <v>0.19573099999999999</v>
      </c>
      <c r="D55" s="11">
        <v>0.19573099999999999</v>
      </c>
      <c r="E55" s="11">
        <v>9.7864999999999994E-2</v>
      </c>
      <c r="F55" s="11"/>
      <c r="G55" s="11"/>
      <c r="H55" s="11"/>
    </row>
    <row r="56" spans="2:8" s="7" customFormat="1" x14ac:dyDescent="0.3">
      <c r="B56" s="7" t="s">
        <v>65</v>
      </c>
      <c r="C56" s="11">
        <v>1.084295</v>
      </c>
      <c r="D56" s="11">
        <v>1.084295</v>
      </c>
      <c r="E56" s="11">
        <v>0.54214700000000005</v>
      </c>
      <c r="F56" s="11"/>
      <c r="G56" s="11"/>
      <c r="H56" s="11"/>
    </row>
    <row r="57" spans="2:8" s="7" customFormat="1" x14ac:dyDescent="0.3">
      <c r="B57" s="7" t="s">
        <v>66</v>
      </c>
      <c r="C57" s="11">
        <v>2.3947440000000002</v>
      </c>
      <c r="D57" s="11">
        <v>2.3947440000000002</v>
      </c>
      <c r="E57" s="11">
        <v>1.1973720000000001</v>
      </c>
      <c r="F57" s="11"/>
      <c r="G57" s="11"/>
      <c r="H57" s="11"/>
    </row>
    <row r="58" spans="2:8" s="7" customFormat="1" x14ac:dyDescent="0.3">
      <c r="B58" s="7" t="s">
        <v>67</v>
      </c>
      <c r="C58" s="11">
        <v>0.35211300000000001</v>
      </c>
      <c r="D58" s="11">
        <v>0.35211300000000001</v>
      </c>
      <c r="E58" s="11">
        <v>0.17605599999999999</v>
      </c>
      <c r="F58" s="11"/>
      <c r="G58" s="11"/>
      <c r="H58" s="11"/>
    </row>
    <row r="59" spans="2:8" s="7" customFormat="1" x14ac:dyDescent="0.3">
      <c r="B59" s="7" t="s">
        <v>68</v>
      </c>
      <c r="C59" s="11">
        <v>4.2681449999999996</v>
      </c>
      <c r="D59" s="11">
        <v>4.2681449999999996</v>
      </c>
      <c r="E59" s="11">
        <v>2.1340720000000002</v>
      </c>
      <c r="F59" s="11"/>
      <c r="G59" s="11"/>
      <c r="H59" s="11"/>
    </row>
    <row r="60" spans="2:8" s="7" customFormat="1" x14ac:dyDescent="0.3">
      <c r="B60" s="7" t="s">
        <v>13</v>
      </c>
      <c r="C60" s="11">
        <v>6.2252400000000003</v>
      </c>
      <c r="D60" s="11">
        <v>6.2252400000000003</v>
      </c>
      <c r="E60" s="11">
        <v>3.1126200000000002</v>
      </c>
      <c r="F60" s="11"/>
      <c r="G60" s="11"/>
      <c r="H60" s="11"/>
    </row>
    <row r="61" spans="2:8" s="7" customFormat="1" x14ac:dyDescent="0.3">
      <c r="B61" s="7" t="s">
        <v>71</v>
      </c>
      <c r="C61" s="11">
        <v>0.76980300000000002</v>
      </c>
      <c r="D61" s="11">
        <v>0.76980300000000002</v>
      </c>
      <c r="E61" s="11">
        <v>0.38490099999999999</v>
      </c>
      <c r="F61" s="11"/>
      <c r="G61" s="11"/>
      <c r="H61" s="11"/>
    </row>
    <row r="62" spans="2:8" s="7" customFormat="1" x14ac:dyDescent="0.3">
      <c r="B62" s="7" t="s">
        <v>77</v>
      </c>
      <c r="C62" s="11">
        <v>3.3427570000000002</v>
      </c>
      <c r="D62" s="11">
        <v>3.3427570000000002</v>
      </c>
      <c r="E62" s="11">
        <v>1.671378</v>
      </c>
      <c r="F62" s="11"/>
      <c r="G62" s="11"/>
      <c r="H62" s="11"/>
    </row>
    <row r="63" spans="2:8" s="7" customFormat="1" x14ac:dyDescent="0.3">
      <c r="B63" s="7" t="s">
        <v>69</v>
      </c>
      <c r="C63" s="11">
        <v>5.8790000000000002E-2</v>
      </c>
      <c r="D63" s="11">
        <v>5.8790000000000002E-2</v>
      </c>
      <c r="E63" s="11">
        <v>2.9395000000000001E-2</v>
      </c>
      <c r="F63" s="11"/>
      <c r="G63" s="11"/>
      <c r="H63" s="11"/>
    </row>
    <row r="64" spans="2:8" s="7" customFormat="1" x14ac:dyDescent="0.3">
      <c r="B64" s="7" t="s">
        <v>70</v>
      </c>
      <c r="C64" s="11">
        <v>3.6277870000000001</v>
      </c>
      <c r="D64" s="11">
        <v>3.6277870000000001</v>
      </c>
      <c r="E64" s="11">
        <v>1.813893</v>
      </c>
      <c r="F64" s="11"/>
      <c r="G64" s="11"/>
      <c r="H64" s="11"/>
    </row>
    <row r="65" spans="2:8" s="7" customFormat="1" x14ac:dyDescent="0.3">
      <c r="B65" s="7" t="s">
        <v>14</v>
      </c>
      <c r="C65" s="11">
        <v>21.376183999999999</v>
      </c>
      <c r="D65" s="11">
        <v>21.376183999999999</v>
      </c>
      <c r="E65" s="11">
        <v>10.688091999999999</v>
      </c>
      <c r="F65" s="11"/>
      <c r="G65" s="11"/>
      <c r="H65" s="11"/>
    </row>
    <row r="66" spans="2:8" s="7" customFormat="1" x14ac:dyDescent="0.3">
      <c r="B66" s="7" t="s">
        <v>72</v>
      </c>
      <c r="C66" s="11">
        <v>0.13716</v>
      </c>
      <c r="D66" s="11">
        <v>0.13716</v>
      </c>
      <c r="E66" s="11">
        <v>6.8580000000000002E-2</v>
      </c>
      <c r="F66" s="11"/>
      <c r="G66" s="11"/>
      <c r="H66" s="11"/>
    </row>
    <row r="67" spans="2:8" s="7" customFormat="1" x14ac:dyDescent="0.3">
      <c r="B67" s="7" t="s">
        <v>73</v>
      </c>
      <c r="C67" s="11">
        <v>33.873103999999998</v>
      </c>
      <c r="D67" s="11">
        <v>33.873103999999998</v>
      </c>
      <c r="E67" s="11">
        <v>16.936551999999999</v>
      </c>
      <c r="F67" s="11"/>
      <c r="G67" s="11"/>
      <c r="H67" s="11"/>
    </row>
    <row r="68" spans="2:8" s="7" customFormat="1" x14ac:dyDescent="0.3">
      <c r="B68" s="7" t="s">
        <v>74</v>
      </c>
      <c r="C68" s="11">
        <v>7.239916</v>
      </c>
      <c r="D68" s="11">
        <v>7.239916</v>
      </c>
      <c r="E68" s="11">
        <v>3.619958</v>
      </c>
      <c r="F68" s="11"/>
      <c r="G68" s="11"/>
      <c r="H68" s="11"/>
    </row>
    <row r="69" spans="2:8" s="7" customFormat="1" x14ac:dyDescent="0.3">
      <c r="B69" s="7" t="s">
        <v>75</v>
      </c>
      <c r="C69" s="11">
        <v>4.0611420000000003</v>
      </c>
      <c r="D69" s="11">
        <v>4.0611420000000003</v>
      </c>
      <c r="E69" s="11">
        <v>2.0305710000000001</v>
      </c>
      <c r="F69" s="11"/>
      <c r="G69" s="11"/>
      <c r="H69" s="11"/>
    </row>
    <row r="70" spans="2:8" s="7" customFormat="1" x14ac:dyDescent="0.3">
      <c r="B70" s="7" t="s">
        <v>76</v>
      </c>
      <c r="C70" s="11">
        <v>3.22845</v>
      </c>
      <c r="D70" s="11">
        <v>3.22845</v>
      </c>
      <c r="E70" s="11">
        <v>1.614225</v>
      </c>
      <c r="F70" s="11"/>
      <c r="G70" s="11"/>
      <c r="H70" s="11"/>
    </row>
    <row r="71" spans="2:8" s="7" customFormat="1" x14ac:dyDescent="0.3">
      <c r="B71" s="7" t="s">
        <v>78</v>
      </c>
      <c r="C71" s="11">
        <v>12.127014000000001</v>
      </c>
      <c r="D71" s="11">
        <v>12.127014000000001</v>
      </c>
      <c r="E71" s="11">
        <v>6.0635070000000004</v>
      </c>
      <c r="F71" s="11"/>
      <c r="G71" s="11"/>
      <c r="H71" s="11"/>
    </row>
    <row r="72" spans="2:8" s="7" customFormat="1" x14ac:dyDescent="0.3">
      <c r="B72" s="7" t="s">
        <v>79</v>
      </c>
      <c r="C72" s="11">
        <v>0.62121800000000005</v>
      </c>
      <c r="D72" s="11">
        <v>0.62121800000000005</v>
      </c>
      <c r="E72" s="11">
        <v>0.31060900000000002</v>
      </c>
      <c r="F72" s="11"/>
      <c r="G72" s="11"/>
      <c r="H72" s="11"/>
    </row>
    <row r="73" spans="2:8" s="7" customFormat="1" x14ac:dyDescent="0.3">
      <c r="B73" s="7" t="s">
        <v>80</v>
      </c>
      <c r="C73" s="11">
        <v>3.2203210000000002</v>
      </c>
      <c r="D73" s="11">
        <v>3.2203210000000002</v>
      </c>
      <c r="E73" s="11">
        <v>1.61016</v>
      </c>
      <c r="F73" s="11"/>
      <c r="G73" s="11"/>
      <c r="H73" s="11"/>
    </row>
    <row r="74" spans="2:8" s="7" customFormat="1" x14ac:dyDescent="0.3">
      <c r="B74" s="7" t="s">
        <v>81</v>
      </c>
      <c r="C74" s="11">
        <v>4.1491369999999996</v>
      </c>
      <c r="D74" s="11">
        <v>4.1491369999999996</v>
      </c>
      <c r="E74" s="11">
        <v>2.0745680000000002</v>
      </c>
      <c r="F74" s="11"/>
      <c r="G74" s="11"/>
      <c r="H74" s="11"/>
    </row>
    <row r="75" spans="2:8" s="7" customFormat="1" x14ac:dyDescent="0.3">
      <c r="B75" s="11" t="s">
        <v>87</v>
      </c>
      <c r="C75" s="11">
        <v>1.656577</v>
      </c>
      <c r="D75" s="11">
        <v>1.656577</v>
      </c>
      <c r="E75" s="11">
        <v>0.82828800000000002</v>
      </c>
      <c r="F75" s="11"/>
      <c r="G75" s="11"/>
      <c r="H75" s="11"/>
    </row>
    <row r="76" spans="2:8" s="7" customFormat="1" x14ac:dyDescent="0.3">
      <c r="B76" s="11" t="s">
        <v>88</v>
      </c>
      <c r="C76" s="11">
        <v>9.3999999999999994E-5</v>
      </c>
      <c r="D76" s="11">
        <v>9.3999999999999994E-5</v>
      </c>
      <c r="E76" s="11">
        <v>4.6999999999999997E-5</v>
      </c>
      <c r="F76" s="11"/>
      <c r="G76" s="11"/>
      <c r="H76" s="11"/>
    </row>
    <row r="77" spans="2:8" s="7" customFormat="1" x14ac:dyDescent="0.3">
      <c r="B77" s="11" t="s">
        <v>82</v>
      </c>
      <c r="C77" s="11">
        <v>2.1859299999999999</v>
      </c>
      <c r="D77" s="11">
        <v>2.1859299999999999</v>
      </c>
      <c r="E77" s="11">
        <v>1.092965</v>
      </c>
      <c r="F77" s="11"/>
      <c r="G77" s="11"/>
      <c r="H77" s="11"/>
    </row>
    <row r="78" spans="2:8" s="7" customFormat="1" x14ac:dyDescent="0.3">
      <c r="B78" s="11" t="s">
        <v>83</v>
      </c>
      <c r="C78" s="11">
        <v>6.0999999999999999E-5</v>
      </c>
      <c r="D78" s="11">
        <v>6.0999999999999999E-5</v>
      </c>
      <c r="E78" s="11">
        <v>3.0000000000000001E-5</v>
      </c>
      <c r="F78" s="11"/>
      <c r="G78" s="11"/>
      <c r="H78" s="11"/>
    </row>
    <row r="79" spans="2:8" s="7" customFormat="1" x14ac:dyDescent="0.3">
      <c r="B79" s="11" t="s">
        <v>84</v>
      </c>
      <c r="C79" s="11">
        <v>1.1930430000000001</v>
      </c>
      <c r="D79" s="11">
        <v>1.1930430000000001</v>
      </c>
      <c r="E79" s="11">
        <v>0.59652099999999997</v>
      </c>
      <c r="F79" s="11"/>
      <c r="G79" s="11"/>
    </row>
    <row r="80" spans="2:8" s="7" customFormat="1" x14ac:dyDescent="0.3">
      <c r="B80" s="11" t="s">
        <v>85</v>
      </c>
      <c r="C80" s="11">
        <v>4.2632999999999997E-2</v>
      </c>
      <c r="D80" s="11">
        <v>4.2632999999999997E-2</v>
      </c>
      <c r="E80" s="11">
        <v>2.1316000000000002E-2</v>
      </c>
      <c r="F80" s="11"/>
      <c r="G80" s="11"/>
    </row>
    <row r="81" spans="2:6" s="7" customFormat="1" x14ac:dyDescent="0.3">
      <c r="B81" s="11" t="s">
        <v>86</v>
      </c>
      <c r="C81" s="11">
        <v>10.095547</v>
      </c>
      <c r="D81" s="11">
        <v>10.095547</v>
      </c>
      <c r="E81" s="11">
        <v>5.0477730000000003</v>
      </c>
      <c r="F81" s="11"/>
    </row>
    <row r="82" spans="2:6" s="7" customFormat="1" x14ac:dyDescent="0.3">
      <c r="B82" s="11" t="s">
        <v>89</v>
      </c>
      <c r="C82" s="11">
        <v>1.9400000000000001E-2</v>
      </c>
      <c r="D82" s="11">
        <v>1.9400000000000001E-2</v>
      </c>
      <c r="E82" s="11">
        <v>9.7000000000000003E-3</v>
      </c>
      <c r="F82" s="11"/>
    </row>
    <row r="83" spans="2:6" s="7" customFormat="1" x14ac:dyDescent="0.3">
      <c r="B83" s="11" t="s">
        <v>90</v>
      </c>
      <c r="C83" s="11">
        <v>3.1095220000000001</v>
      </c>
      <c r="D83" s="11">
        <v>3.1095220000000001</v>
      </c>
      <c r="E83" s="11">
        <v>1.5547610000000001</v>
      </c>
      <c r="F83" s="11"/>
    </row>
    <row r="84" spans="2:6" s="7" customFormat="1" x14ac:dyDescent="0.3">
      <c r="B84" s="10" t="s">
        <v>91</v>
      </c>
      <c r="C84" s="10">
        <v>0.134487</v>
      </c>
      <c r="D84" s="10">
        <v>0.134487</v>
      </c>
      <c r="E84" s="10">
        <v>6.7242999999999997E-2</v>
      </c>
      <c r="F84" s="11"/>
    </row>
    <row r="85" spans="2:6" s="7" customFormat="1" x14ac:dyDescent="0.3">
      <c r="B85" s="10" t="s">
        <v>92</v>
      </c>
      <c r="C85" s="10">
        <v>7.7785209999999996</v>
      </c>
      <c r="D85" s="10">
        <v>7.7785209999999996</v>
      </c>
      <c r="E85" s="10">
        <v>3.8892600000000002</v>
      </c>
      <c r="F85" s="11"/>
    </row>
    <row r="86" spans="2:6" s="7" customFormat="1" x14ac:dyDescent="0.3">
      <c r="B86" s="10" t="s">
        <v>93</v>
      </c>
      <c r="C86" s="10">
        <v>6.7431080000000003</v>
      </c>
      <c r="D86" s="10">
        <v>6.7431080000000003</v>
      </c>
      <c r="E86" s="10">
        <v>3.3715540000000002</v>
      </c>
      <c r="F86" s="11"/>
    </row>
    <row r="87" spans="2:6" s="7" customFormat="1" x14ac:dyDescent="0.3">
      <c r="B87" s="10" t="s">
        <v>94</v>
      </c>
      <c r="C87" s="10">
        <v>4.2626119999999998</v>
      </c>
      <c r="D87" s="10">
        <v>4.2626119999999998</v>
      </c>
      <c r="E87" s="10">
        <v>2.1313059999999999</v>
      </c>
      <c r="F87" s="11"/>
    </row>
    <row r="88" spans="2:6" x14ac:dyDescent="0.3">
      <c r="B88" s="10" t="s">
        <v>95</v>
      </c>
      <c r="C88" s="10">
        <v>0.407281</v>
      </c>
      <c r="D88" s="10">
        <v>0.407281</v>
      </c>
      <c r="E88" s="10">
        <v>0.20363999999999999</v>
      </c>
      <c r="F88" s="10"/>
    </row>
    <row r="89" spans="2:6" x14ac:dyDescent="0.3">
      <c r="B89" s="10" t="s">
        <v>96</v>
      </c>
      <c r="C89" s="10">
        <v>4.1676520000000004</v>
      </c>
      <c r="D89" s="10">
        <v>4.1676520000000004</v>
      </c>
      <c r="E89" s="10">
        <v>2.0838260000000002</v>
      </c>
    </row>
    <row r="90" spans="2:6" x14ac:dyDescent="0.3">
      <c r="B90" s="10" t="s">
        <v>97</v>
      </c>
      <c r="C90" s="10">
        <v>0.95380600000000004</v>
      </c>
      <c r="D90" s="10">
        <v>0.95380600000000004</v>
      </c>
      <c r="E90" s="10">
        <v>0.47690300000000002</v>
      </c>
    </row>
    <row r="91" spans="2:6" x14ac:dyDescent="0.3">
      <c r="B91" s="10" t="s">
        <v>100</v>
      </c>
      <c r="C91" s="10">
        <v>9.0350020000000004</v>
      </c>
      <c r="D91" s="10">
        <v>9.0350020000000004</v>
      </c>
      <c r="E91" s="10">
        <v>4.5175010000000002</v>
      </c>
    </row>
    <row r="92" spans="2:6" x14ac:dyDescent="0.3">
      <c r="B92" s="10" t="s">
        <v>108</v>
      </c>
      <c r="C92" s="10">
        <v>1.310036</v>
      </c>
      <c r="D92" s="10">
        <v>1.310036</v>
      </c>
      <c r="E92" s="10">
        <v>0.65501799999999999</v>
      </c>
    </row>
    <row r="93" spans="2:6" x14ac:dyDescent="0.3">
      <c r="B93" s="10" t="s">
        <v>104</v>
      </c>
      <c r="C93" s="10">
        <v>3.6422999999999997E-2</v>
      </c>
      <c r="D93" s="10">
        <v>3.6422999999999997E-2</v>
      </c>
      <c r="E93" s="10">
        <v>1.8211000000000001E-2</v>
      </c>
    </row>
    <row r="94" spans="2:6" x14ac:dyDescent="0.3">
      <c r="B94" s="10" t="s">
        <v>101</v>
      </c>
      <c r="C94" s="10">
        <v>4.191154</v>
      </c>
      <c r="D94" s="10">
        <v>4.191154</v>
      </c>
      <c r="E94" s="10">
        <v>2.095577</v>
      </c>
    </row>
    <row r="95" spans="2:6" x14ac:dyDescent="0.3">
      <c r="B95" s="10" t="s">
        <v>102</v>
      </c>
      <c r="C95" s="10">
        <v>3.2305820000000001</v>
      </c>
      <c r="D95" s="10">
        <v>3.2305820000000001</v>
      </c>
      <c r="E95" s="10">
        <v>1.615291</v>
      </c>
    </row>
    <row r="96" spans="2:6" x14ac:dyDescent="0.3">
      <c r="B96" s="10" t="s">
        <v>103</v>
      </c>
      <c r="C96" s="10">
        <v>2.0869999999999999E-3</v>
      </c>
      <c r="D96" s="10">
        <v>2.0869999999999999E-3</v>
      </c>
      <c r="E96" s="10">
        <v>1.0430000000000001E-3</v>
      </c>
    </row>
    <row r="97" spans="2:5" x14ac:dyDescent="0.3">
      <c r="B97" s="10" t="s">
        <v>105</v>
      </c>
      <c r="C97" s="10">
        <v>2.1598839999999999</v>
      </c>
      <c r="D97" s="10">
        <v>2.1598839999999999</v>
      </c>
      <c r="E97" s="10">
        <v>1.079942</v>
      </c>
    </row>
    <row r="98" spans="2:5" x14ac:dyDescent="0.3">
      <c r="B98" s="10" t="s">
        <v>99</v>
      </c>
      <c r="C98" s="10">
        <v>13.63228</v>
      </c>
      <c r="D98" s="10">
        <v>13.63228</v>
      </c>
      <c r="E98" s="10">
        <v>6.8161399999999999</v>
      </c>
    </row>
    <row r="99" spans="2:5" x14ac:dyDescent="0.3">
      <c r="B99" s="10" t="s">
        <v>109</v>
      </c>
      <c r="C99" s="10">
        <v>7.8132809999999999</v>
      </c>
      <c r="D99" s="10">
        <v>7.8132809999999999</v>
      </c>
      <c r="E99" s="10">
        <v>3.9066399999999999</v>
      </c>
    </row>
    <row r="100" spans="2:5" x14ac:dyDescent="0.3">
      <c r="B100" s="10" t="s">
        <v>110</v>
      </c>
      <c r="C100" s="10">
        <v>2.218553</v>
      </c>
      <c r="D100" s="10">
        <v>2.218553</v>
      </c>
      <c r="E100" s="10">
        <v>1.1092759999999999</v>
      </c>
    </row>
    <row r="101" spans="2:5" x14ac:dyDescent="0.3">
      <c r="B101" s="10" t="s">
        <v>107</v>
      </c>
      <c r="C101" s="10">
        <v>6.5950749999999996</v>
      </c>
      <c r="D101" s="10">
        <v>6.5950749999999996</v>
      </c>
      <c r="E101" s="10">
        <v>3.2975370000000002</v>
      </c>
    </row>
    <row r="102" spans="2:5" x14ac:dyDescent="0.3">
      <c r="B102" s="10" t="s">
        <v>98</v>
      </c>
      <c r="C102" s="10">
        <v>5.8002999999999999E-2</v>
      </c>
      <c r="D102" s="10">
        <v>5.8002999999999999E-2</v>
      </c>
      <c r="E102" s="10">
        <v>2.9000999999999999E-2</v>
      </c>
    </row>
    <row r="103" spans="2:5" x14ac:dyDescent="0.3">
      <c r="B103" s="10" t="s">
        <v>111</v>
      </c>
      <c r="C103" s="10">
        <v>9.3896169999999994</v>
      </c>
      <c r="D103" s="10">
        <v>9.3896169999999994</v>
      </c>
      <c r="E103" s="10">
        <v>4.6948080000000001</v>
      </c>
    </row>
    <row r="104" spans="2:5" x14ac:dyDescent="0.3">
      <c r="B104" s="10" t="s">
        <v>113</v>
      </c>
      <c r="C104" s="10">
        <v>0.68623800000000001</v>
      </c>
      <c r="D104" s="10">
        <v>0.68623800000000001</v>
      </c>
      <c r="E104" s="10">
        <v>0.34311900000000001</v>
      </c>
    </row>
    <row r="105" spans="2:5" x14ac:dyDescent="0.3">
      <c r="B105" s="10" t="s">
        <v>112</v>
      </c>
      <c r="C105" s="10">
        <v>3.3000000000000003E-5</v>
      </c>
      <c r="D105" s="10">
        <v>3.3000000000000003E-5</v>
      </c>
      <c r="E105" s="10">
        <v>1.5999999999999999E-5</v>
      </c>
    </row>
    <row r="106" spans="2:5" x14ac:dyDescent="0.3">
      <c r="B106" s="10" t="s">
        <v>114</v>
      </c>
      <c r="C106" s="10">
        <v>0.26905400000000002</v>
      </c>
      <c r="D106" s="10">
        <v>0.26905400000000002</v>
      </c>
      <c r="E106" s="10">
        <v>0.13452700000000001</v>
      </c>
    </row>
    <row r="107" spans="2:5" x14ac:dyDescent="0.3">
      <c r="B107" s="10" t="s">
        <v>115</v>
      </c>
      <c r="C107" s="10">
        <v>5.3301530000000001</v>
      </c>
      <c r="D107" s="10">
        <v>5.3301530000000001</v>
      </c>
      <c r="E107" s="10">
        <v>2.665076</v>
      </c>
    </row>
    <row r="108" spans="2:5" x14ac:dyDescent="0.3">
      <c r="B108" s="10" t="s">
        <v>116</v>
      </c>
      <c r="C108" s="10">
        <v>3.2633109999999999</v>
      </c>
      <c r="D108" s="10">
        <v>3.2633109999999999</v>
      </c>
      <c r="E108" s="10">
        <v>1.6316550000000001</v>
      </c>
    </row>
    <row r="109" spans="2:5" x14ac:dyDescent="0.3">
      <c r="B109" s="10" t="s">
        <v>163</v>
      </c>
      <c r="C109" s="10">
        <v>6.5463999999999994E-2</v>
      </c>
      <c r="D109" s="10">
        <v>6.5463999999999994E-2</v>
      </c>
      <c r="E109" s="10">
        <v>3.2731999999999997E-2</v>
      </c>
    </row>
    <row r="110" spans="2:5" x14ac:dyDescent="0.3">
      <c r="B110" s="10" t="s">
        <v>117</v>
      </c>
      <c r="C110" s="10">
        <v>2.72E-4</v>
      </c>
      <c r="D110" s="10">
        <v>2.72E-4</v>
      </c>
      <c r="E110" s="10">
        <v>1.36E-4</v>
      </c>
    </row>
    <row r="111" spans="2:5" x14ac:dyDescent="0.3">
      <c r="B111" s="10" t="s">
        <v>118</v>
      </c>
      <c r="C111" s="10">
        <v>2.0488529999999998</v>
      </c>
      <c r="D111" s="10">
        <v>2.0488529999999998</v>
      </c>
      <c r="E111" s="10">
        <v>1.0244260000000001</v>
      </c>
    </row>
    <row r="112" spans="2:5" x14ac:dyDescent="0.3">
      <c r="B112" s="10" t="s">
        <v>119</v>
      </c>
      <c r="C112" s="10">
        <v>7.3100999999999999E-2</v>
      </c>
      <c r="D112" s="10">
        <v>7.3100999999999999E-2</v>
      </c>
      <c r="E112" s="10">
        <v>3.6549999999999999E-2</v>
      </c>
    </row>
    <row r="113" spans="2:5" x14ac:dyDescent="0.3">
      <c r="B113" s="10" t="s">
        <v>120</v>
      </c>
      <c r="C113" s="10">
        <v>1.832627</v>
      </c>
      <c r="D113" s="10">
        <v>1.832627</v>
      </c>
      <c r="E113" s="10">
        <v>0.91631300000000004</v>
      </c>
    </row>
    <row r="114" spans="2:5" x14ac:dyDescent="0.3">
      <c r="B114" s="10" t="s">
        <v>121</v>
      </c>
      <c r="C114" s="10">
        <v>2.930914</v>
      </c>
      <c r="D114" s="10">
        <v>2.930914</v>
      </c>
      <c r="E114" s="10">
        <v>1.465457</v>
      </c>
    </row>
    <row r="115" spans="2:5" x14ac:dyDescent="0.3">
      <c r="B115" s="10" t="s">
        <v>164</v>
      </c>
      <c r="C115" s="10">
        <v>6.2290000000000002E-3</v>
      </c>
      <c r="D115" s="10">
        <v>6.2290000000000002E-3</v>
      </c>
      <c r="E115" s="10">
        <v>3.114E-3</v>
      </c>
    </row>
    <row r="116" spans="2:5" x14ac:dyDescent="0.3">
      <c r="B116" s="10" t="s">
        <v>122</v>
      </c>
      <c r="C116" s="10">
        <v>4.0017180000000003</v>
      </c>
      <c r="D116" s="10">
        <v>4.0017180000000003</v>
      </c>
      <c r="E116" s="10">
        <v>2.0008590000000002</v>
      </c>
    </row>
    <row r="117" spans="2:5" x14ac:dyDescent="0.3">
      <c r="B117" s="10" t="s">
        <v>123</v>
      </c>
      <c r="C117" s="10">
        <v>3.3000000000000003E-5</v>
      </c>
      <c r="D117" s="10">
        <v>3.3000000000000003E-5</v>
      </c>
      <c r="E117" s="10">
        <v>1.5999999999999999E-5</v>
      </c>
    </row>
    <row r="118" spans="2:5" x14ac:dyDescent="0.3">
      <c r="B118" s="10" t="s">
        <v>124</v>
      </c>
      <c r="C118" s="10">
        <v>1.292864</v>
      </c>
      <c r="D118" s="10">
        <v>1.292864</v>
      </c>
      <c r="E118" s="10">
        <v>0.64643200000000001</v>
      </c>
    </row>
    <row r="119" spans="2:5" x14ac:dyDescent="0.3">
      <c r="B119" s="10" t="s">
        <v>125</v>
      </c>
      <c r="C119" s="10">
        <v>1.4696000000000001E-2</v>
      </c>
      <c r="D119" s="10">
        <v>1.4696000000000001E-2</v>
      </c>
      <c r="E119" s="10">
        <v>7.3480000000000004E-3</v>
      </c>
    </row>
    <row r="120" spans="2:5" x14ac:dyDescent="0.3">
      <c r="B120" s="10" t="s">
        <v>126</v>
      </c>
      <c r="C120" s="10">
        <v>1.2358530000000001</v>
      </c>
      <c r="D120" s="10">
        <v>1.2358530000000001</v>
      </c>
      <c r="E120" s="10">
        <v>0.61792599999999998</v>
      </c>
    </row>
    <row r="121" spans="2:5" x14ac:dyDescent="0.3">
      <c r="B121" s="10" t="s">
        <v>127</v>
      </c>
      <c r="C121" s="10">
        <v>3.5758869999999998</v>
      </c>
      <c r="D121" s="10">
        <v>3.5758869999999998</v>
      </c>
      <c r="E121" s="10">
        <v>1.7879430000000001</v>
      </c>
    </row>
    <row r="122" spans="2:5" x14ac:dyDescent="0.3">
      <c r="B122" s="10" t="s">
        <v>128</v>
      </c>
      <c r="C122" s="10">
        <v>3.6306189999999998</v>
      </c>
      <c r="D122" s="10">
        <v>3.6306189999999998</v>
      </c>
      <c r="E122" s="10">
        <v>1.8153090000000001</v>
      </c>
    </row>
    <row r="123" spans="2:5" x14ac:dyDescent="0.3">
      <c r="B123" s="10" t="s">
        <v>129</v>
      </c>
      <c r="C123" s="10">
        <v>0.65048899999999998</v>
      </c>
      <c r="D123" s="10">
        <v>0.65048899999999998</v>
      </c>
      <c r="E123" s="10">
        <v>0.32524399999999998</v>
      </c>
    </row>
    <row r="124" spans="2:5" x14ac:dyDescent="0.3">
      <c r="B124" s="10" t="s">
        <v>130</v>
      </c>
      <c r="C124" s="10">
        <v>1.322335</v>
      </c>
      <c r="D124" s="10">
        <v>1.322335</v>
      </c>
      <c r="E124" s="10">
        <v>0.66116699999999995</v>
      </c>
    </row>
    <row r="125" spans="2:5" x14ac:dyDescent="0.3">
      <c r="B125" s="10" t="s">
        <v>131</v>
      </c>
      <c r="C125" s="10">
        <v>1.277021</v>
      </c>
      <c r="D125" s="10">
        <v>1.277021</v>
      </c>
      <c r="E125" s="10">
        <v>0.63851000000000002</v>
      </c>
    </row>
    <row r="126" spans="2:5" x14ac:dyDescent="0.3">
      <c r="B126" s="10" t="s">
        <v>132</v>
      </c>
      <c r="C126" s="10">
        <v>1.776076</v>
      </c>
      <c r="D126" s="10">
        <v>1.776076</v>
      </c>
      <c r="E126" s="10">
        <v>0.88803799999999999</v>
      </c>
    </row>
    <row r="127" spans="2:5" x14ac:dyDescent="0.3">
      <c r="B127" s="10" t="s">
        <v>135</v>
      </c>
      <c r="C127" s="10">
        <v>5.6516609999999998</v>
      </c>
      <c r="D127" s="10">
        <v>5.6516609999999998</v>
      </c>
      <c r="E127" s="10">
        <v>2.8258299999999998</v>
      </c>
    </row>
    <row r="128" spans="2:5" x14ac:dyDescent="0.3">
      <c r="B128" s="10" t="s">
        <v>136</v>
      </c>
      <c r="C128" s="10">
        <v>3.3480829999999999</v>
      </c>
      <c r="D128" s="10">
        <v>3.3480829999999999</v>
      </c>
      <c r="E128" s="10">
        <v>1.6740409999999999</v>
      </c>
    </row>
    <row r="129" spans="2:5" x14ac:dyDescent="0.3">
      <c r="B129" s="10" t="s">
        <v>137</v>
      </c>
      <c r="C129" s="10">
        <v>3.3760439999999998</v>
      </c>
      <c r="D129" s="10">
        <v>3.3760439999999998</v>
      </c>
      <c r="E129" s="10">
        <v>1.6880219999999999</v>
      </c>
    </row>
    <row r="130" spans="2:5" x14ac:dyDescent="0.3">
      <c r="B130" s="10" t="s">
        <v>138</v>
      </c>
      <c r="C130" s="10">
        <v>0.17446800000000001</v>
      </c>
      <c r="D130" s="10">
        <v>0.17446800000000001</v>
      </c>
      <c r="E130" s="10">
        <v>8.7234000000000006E-2</v>
      </c>
    </row>
    <row r="131" spans="2:5" x14ac:dyDescent="0.3">
      <c r="B131" s="10" t="s">
        <v>139</v>
      </c>
      <c r="C131" s="10">
        <v>6.1574450000000001</v>
      </c>
      <c r="D131" s="10">
        <v>6.1574450000000001</v>
      </c>
      <c r="E131" s="10">
        <v>3.078722</v>
      </c>
    </row>
    <row r="132" spans="2:5" x14ac:dyDescent="0.3">
      <c r="B132" s="10" t="s">
        <v>140</v>
      </c>
      <c r="C132" s="10">
        <v>10.346617</v>
      </c>
      <c r="D132" s="10">
        <v>10.346617</v>
      </c>
      <c r="E132" s="10">
        <v>5.1733079999999996</v>
      </c>
    </row>
    <row r="133" spans="2:5" x14ac:dyDescent="0.3">
      <c r="B133" s="10" t="s">
        <v>141</v>
      </c>
      <c r="C133" s="10">
        <v>2.4156759999999999</v>
      </c>
      <c r="D133" s="10">
        <v>2.4156759999999999</v>
      </c>
      <c r="E133" s="10">
        <v>1.207838</v>
      </c>
    </row>
    <row r="134" spans="2:5" x14ac:dyDescent="0.3">
      <c r="B134" s="10" t="s">
        <v>142</v>
      </c>
      <c r="C134" s="10">
        <v>2.6116730000000001</v>
      </c>
      <c r="D134" s="10">
        <v>2.6116730000000001</v>
      </c>
      <c r="E134" s="10">
        <v>1.305836</v>
      </c>
    </row>
    <row r="135" spans="2:5" x14ac:dyDescent="0.3">
      <c r="B135" s="10" t="s">
        <v>143</v>
      </c>
      <c r="C135" s="10">
        <v>2.586576</v>
      </c>
      <c r="D135" s="10">
        <v>2.586576</v>
      </c>
      <c r="E135" s="10">
        <v>1.293288</v>
      </c>
    </row>
    <row r="136" spans="2:5" x14ac:dyDescent="0.3">
      <c r="B136" s="10" t="s">
        <v>144</v>
      </c>
      <c r="C136" s="10">
        <v>3.8299999999999999E-4</v>
      </c>
      <c r="D136" s="10">
        <v>3.8299999999999999E-4</v>
      </c>
      <c r="E136" s="10">
        <v>1.9100000000000001E-4</v>
      </c>
    </row>
    <row r="137" spans="2:5" x14ac:dyDescent="0.3">
      <c r="B137" s="10" t="s">
        <v>145</v>
      </c>
      <c r="C137" s="10">
        <v>1.055194</v>
      </c>
      <c r="D137" s="10">
        <v>1.055194</v>
      </c>
      <c r="E137" s="10">
        <v>0.52759699999999998</v>
      </c>
    </row>
    <row r="138" spans="2:5" x14ac:dyDescent="0.3">
      <c r="B138" s="10" t="s">
        <v>146</v>
      </c>
      <c r="C138" s="10">
        <v>0.48343199999999997</v>
      </c>
      <c r="D138" s="10">
        <v>0.48343199999999997</v>
      </c>
      <c r="E138" s="10">
        <v>0.24171599999999999</v>
      </c>
    </row>
    <row r="139" spans="2:5" x14ac:dyDescent="0.3">
      <c r="B139" s="10" t="s">
        <v>147</v>
      </c>
      <c r="C139" s="10">
        <v>3.1130710000000001</v>
      </c>
      <c r="D139" s="10">
        <v>3.1130710000000001</v>
      </c>
      <c r="E139" s="10">
        <v>1.556535</v>
      </c>
    </row>
    <row r="140" spans="2:5" x14ac:dyDescent="0.3">
      <c r="B140" s="10" t="s">
        <v>148</v>
      </c>
      <c r="C140" s="10">
        <v>2.6627909999999999</v>
      </c>
      <c r="D140" s="10">
        <v>2.6627909999999999</v>
      </c>
      <c r="E140" s="10">
        <v>1.3313950000000001</v>
      </c>
    </row>
    <row r="141" spans="2:5" x14ac:dyDescent="0.3">
      <c r="B141" s="10" t="s">
        <v>133</v>
      </c>
      <c r="C141" s="10">
        <v>5.2099999999999998E-4</v>
      </c>
      <c r="D141" s="10">
        <v>5.2099999999999998E-4</v>
      </c>
      <c r="E141" s="10">
        <v>2.5999999999999998E-4</v>
      </c>
    </row>
    <row r="142" spans="2:5" x14ac:dyDescent="0.3">
      <c r="B142" s="10" t="s">
        <v>134</v>
      </c>
      <c r="C142" s="10">
        <v>2.5399999999999999E-4</v>
      </c>
      <c r="D142" s="10">
        <v>2.5399999999999999E-4</v>
      </c>
      <c r="E142" s="10">
        <v>1.27E-4</v>
      </c>
    </row>
    <row r="143" spans="2:5" x14ac:dyDescent="0.3">
      <c r="B143" s="10" t="s">
        <v>149</v>
      </c>
      <c r="C143" s="10">
        <v>0.333227</v>
      </c>
      <c r="D143" s="10">
        <v>0.333227</v>
      </c>
      <c r="E143" s="10">
        <v>0.16661300000000001</v>
      </c>
    </row>
    <row r="144" spans="2:5" x14ac:dyDescent="0.3">
      <c r="B144" s="10" t="s">
        <v>150</v>
      </c>
      <c r="C144" s="10">
        <v>0.193158</v>
      </c>
      <c r="D144" s="10">
        <v>0.193158</v>
      </c>
      <c r="E144" s="10">
        <v>9.6578999999999998E-2</v>
      </c>
    </row>
    <row r="145" spans="2:5" x14ac:dyDescent="0.3">
      <c r="B145" s="10" t="s">
        <v>151</v>
      </c>
      <c r="C145" s="10">
        <v>1.0447789999999999</v>
      </c>
      <c r="D145" s="10">
        <v>1.0447789999999999</v>
      </c>
      <c r="E145" s="10">
        <v>0.52238899999999999</v>
      </c>
    </row>
    <row r="146" spans="2:5" x14ac:dyDescent="0.3">
      <c r="B146" s="10" t="s">
        <v>152</v>
      </c>
      <c r="C146" s="10">
        <v>0.21942999999999999</v>
      </c>
      <c r="D146" s="10">
        <v>0.21942999999999999</v>
      </c>
      <c r="E146" s="10">
        <v>0.10971499999999999</v>
      </c>
    </row>
    <row r="147" spans="2:5" x14ac:dyDescent="0.3">
      <c r="B147" s="10" t="s">
        <v>153</v>
      </c>
      <c r="C147" s="10">
        <v>0.66831499999999999</v>
      </c>
      <c r="D147" s="10">
        <v>0.66831499999999999</v>
      </c>
      <c r="E147" s="10">
        <v>0.33415699999999998</v>
      </c>
    </row>
    <row r="148" spans="2:5" x14ac:dyDescent="0.3">
      <c r="B148" s="10" t="s">
        <v>154</v>
      </c>
      <c r="C148" s="10">
        <v>0.74936999999999998</v>
      </c>
      <c r="D148" s="10">
        <v>0.74936999999999998</v>
      </c>
      <c r="E148" s="10">
        <v>0.37468499999999999</v>
      </c>
    </row>
    <row r="149" spans="2:5" x14ac:dyDescent="0.3">
      <c r="B149" s="10" t="s">
        <v>155</v>
      </c>
      <c r="C149" s="10">
        <v>3.1530939999999998</v>
      </c>
      <c r="D149" s="10">
        <v>3.1530939999999998</v>
      </c>
      <c r="E149" s="10">
        <v>1.5765469999999999</v>
      </c>
    </row>
    <row r="150" spans="2:5" x14ac:dyDescent="0.3">
      <c r="B150" s="10" t="s">
        <v>156</v>
      </c>
      <c r="C150" s="10">
        <v>2.8331209999999998</v>
      </c>
      <c r="D150" s="10">
        <v>2.8331209999999998</v>
      </c>
      <c r="E150" s="10">
        <v>1.41656</v>
      </c>
    </row>
    <row r="151" spans="2:5" x14ac:dyDescent="0.3">
      <c r="B151" s="10" t="s">
        <v>165</v>
      </c>
      <c r="C151" s="10">
        <v>4.3291000000000003E-2</v>
      </c>
      <c r="D151" s="10">
        <v>4.3291000000000003E-2</v>
      </c>
      <c r="E151" s="10">
        <v>2.1645000000000001E-2</v>
      </c>
    </row>
    <row r="152" spans="2:5" x14ac:dyDescent="0.3">
      <c r="B152" s="10" t="s">
        <v>157</v>
      </c>
      <c r="C152" s="10">
        <v>0.15992700000000001</v>
      </c>
      <c r="D152" s="10">
        <v>0.15992700000000001</v>
      </c>
      <c r="E152" s="10">
        <v>7.9963000000000006E-2</v>
      </c>
    </row>
    <row r="153" spans="2:5" x14ac:dyDescent="0.3">
      <c r="B153" s="10" t="s">
        <v>158</v>
      </c>
      <c r="C153" s="10">
        <v>0.36882999999999999</v>
      </c>
      <c r="D153" s="10">
        <v>0.36882999999999999</v>
      </c>
      <c r="E153" s="10">
        <v>0.184415</v>
      </c>
    </row>
    <row r="154" spans="2:5" x14ac:dyDescent="0.3">
      <c r="B154" s="10" t="s">
        <v>159</v>
      </c>
      <c r="C154" s="10">
        <v>3.1356730000000002</v>
      </c>
      <c r="D154" s="10">
        <v>3.1356730000000002</v>
      </c>
      <c r="E154" s="10">
        <v>1.567836</v>
      </c>
    </row>
    <row r="155" spans="2:5" x14ac:dyDescent="0.3">
      <c r="B155" s="10" t="s">
        <v>160</v>
      </c>
      <c r="C155" s="10">
        <v>0.89926799999999996</v>
      </c>
      <c r="D155" s="10">
        <v>0.89926799999999996</v>
      </c>
      <c r="E155" s="10">
        <v>0.44963399999999998</v>
      </c>
    </row>
    <row r="156" spans="2:5" x14ac:dyDescent="0.3">
      <c r="B156" s="10" t="s">
        <v>161</v>
      </c>
      <c r="C156" s="10">
        <v>0.22451299999999999</v>
      </c>
      <c r="D156" s="10">
        <v>0.22451299999999999</v>
      </c>
      <c r="E156" s="10">
        <v>0.11225599999999999</v>
      </c>
    </row>
    <row r="157" spans="2:5" x14ac:dyDescent="0.3">
      <c r="B157" s="10" t="s">
        <v>162</v>
      </c>
      <c r="C157" s="10">
        <v>0.42233700000000002</v>
      </c>
      <c r="D157" s="10">
        <v>0.42233700000000002</v>
      </c>
      <c r="E157" s="10">
        <v>0.21116799999999999</v>
      </c>
    </row>
    <row r="158" spans="2:5" x14ac:dyDescent="0.3">
      <c r="B158" s="10" t="s">
        <v>166</v>
      </c>
      <c r="C158" s="10">
        <v>1.3127359999999999</v>
      </c>
      <c r="D158" s="10">
        <v>1.3127359999999999</v>
      </c>
      <c r="E158" s="10">
        <v>0.65636799999999995</v>
      </c>
    </row>
    <row r="159" spans="2:5" x14ac:dyDescent="0.3">
      <c r="B159" s="10" t="s">
        <v>167</v>
      </c>
      <c r="C159" s="10">
        <v>1.1076280000000001</v>
      </c>
      <c r="D159" s="10">
        <v>1.1076280000000001</v>
      </c>
      <c r="E159" s="10">
        <v>0.55381400000000003</v>
      </c>
    </row>
    <row r="160" spans="2:5" x14ac:dyDescent="0.3">
      <c r="B160" s="10" t="s">
        <v>168</v>
      </c>
      <c r="C160" s="10">
        <v>3.1599999999999998E-4</v>
      </c>
      <c r="D160" s="10">
        <v>3.1599999999999998E-4</v>
      </c>
      <c r="E160" s="10">
        <v>1.5799999999999999E-4</v>
      </c>
    </row>
    <row r="161" spans="2:6" x14ac:dyDescent="0.3">
      <c r="B161" s="10" t="s">
        <v>169</v>
      </c>
      <c r="C161" s="10">
        <v>0.127637</v>
      </c>
      <c r="D161" s="10">
        <v>0.127637</v>
      </c>
      <c r="E161" s="10">
        <v>6.3818E-2</v>
      </c>
    </row>
    <row r="162" spans="2:6" x14ac:dyDescent="0.3">
      <c r="B162" s="10" t="s">
        <v>170</v>
      </c>
      <c r="C162" s="10">
        <v>8.9134000000000005E-2</v>
      </c>
      <c r="D162" s="10">
        <v>8.9134000000000005E-2</v>
      </c>
      <c r="E162" s="10">
        <v>4.4567000000000002E-2</v>
      </c>
    </row>
    <row r="163" spans="2:6" x14ac:dyDescent="0.3">
      <c r="B163" s="10" t="s">
        <v>171</v>
      </c>
      <c r="C163" s="10">
        <v>4.5739000000000002E-2</v>
      </c>
      <c r="D163" s="10">
        <v>4.5739000000000002E-2</v>
      </c>
      <c r="E163" s="10">
        <v>2.2869E-2</v>
      </c>
    </row>
    <row r="164" spans="2:6" x14ac:dyDescent="0.3">
      <c r="B164" s="10" t="s">
        <v>172</v>
      </c>
      <c r="C164" s="10">
        <v>5.7284000000000002E-2</v>
      </c>
      <c r="D164" s="10">
        <v>5.7284000000000002E-2</v>
      </c>
      <c r="E164" s="10">
        <v>2.8642000000000001E-2</v>
      </c>
    </row>
    <row r="165" spans="2:6" x14ac:dyDescent="0.3">
      <c r="B165" s="10" t="s">
        <v>173</v>
      </c>
      <c r="C165" s="10">
        <v>6.7507999999999999E-2</v>
      </c>
      <c r="D165" s="10">
        <v>6.7507999999999999E-2</v>
      </c>
      <c r="E165" s="10">
        <v>3.3753999999999999E-2</v>
      </c>
    </row>
    <row r="166" spans="2:6" x14ac:dyDescent="0.3">
      <c r="B166" s="10" t="s">
        <v>174</v>
      </c>
      <c r="C166" s="10">
        <v>0.117536</v>
      </c>
      <c r="D166" s="10">
        <v>0.117536</v>
      </c>
      <c r="E166" s="10">
        <v>5.8768000000000001E-2</v>
      </c>
    </row>
    <row r="167" spans="2:6" x14ac:dyDescent="0.3">
      <c r="B167" s="10" t="s">
        <v>175</v>
      </c>
      <c r="C167" s="10">
        <v>1.5699999999999999E-4</v>
      </c>
      <c r="D167" s="10">
        <v>1.5699999999999999E-4</v>
      </c>
      <c r="E167" s="10">
        <v>7.7999999999999999E-5</v>
      </c>
    </row>
    <row r="168" spans="2:6" x14ac:dyDescent="0.3">
      <c r="B168" s="10" t="s">
        <v>176</v>
      </c>
      <c r="C168" s="10">
        <v>4.8000000000000001E-4</v>
      </c>
      <c r="D168" s="10">
        <v>4.8000000000000001E-4</v>
      </c>
      <c r="E168" s="10">
        <v>2.4000000000000001E-4</v>
      </c>
    </row>
    <row r="169" spans="2:6" x14ac:dyDescent="0.3">
      <c r="B169" s="10" t="s">
        <v>177</v>
      </c>
      <c r="C169" s="10">
        <v>5.0429999999999997E-3</v>
      </c>
      <c r="D169" s="10">
        <v>5.0429999999999997E-3</v>
      </c>
      <c r="E169" s="10">
        <v>2.5209999999999998E-3</v>
      </c>
    </row>
    <row r="170" spans="2:6" x14ac:dyDescent="0.3">
      <c r="B170" s="10" t="s">
        <v>26</v>
      </c>
      <c r="C170" s="10">
        <v>1.0723E-2</v>
      </c>
      <c r="D170" s="10">
        <v>1.0723E-2</v>
      </c>
      <c r="E170" s="10">
        <v>5.3610000000000003E-3</v>
      </c>
    </row>
    <row r="171" spans="2:6" x14ac:dyDescent="0.3">
      <c r="B171" s="10"/>
      <c r="C171" s="10"/>
      <c r="D171" s="10"/>
      <c r="E171" s="10"/>
    </row>
    <row r="172" spans="2:6" x14ac:dyDescent="0.3">
      <c r="B172" s="3" t="s">
        <v>34</v>
      </c>
      <c r="C172" s="10">
        <f>SUM(C3:C171)</f>
        <v>949.89727899999968</v>
      </c>
      <c r="D172" s="10">
        <f>SUM(D3:D171)</f>
        <v>949.89727899999968</v>
      </c>
      <c r="E172" s="10">
        <f>SUM(E3:E171)</f>
        <v>474.94859799999989</v>
      </c>
    </row>
    <row r="176" spans="2:6" x14ac:dyDescent="0.3">
      <c r="F176" s="10">
        <f>SUM(C172:E172)</f>
        <v>2374.7431559999991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Dineshwaran Asaithambi</dc:creator>
  <cp:lastModifiedBy>Hidayathullah Tajudeen (Waseem)</cp:lastModifiedBy>
  <dcterms:created xsi:type="dcterms:W3CDTF">2021-01-29T09:04:12Z</dcterms:created>
  <dcterms:modified xsi:type="dcterms:W3CDTF">2025-12-01T15:13:19Z</dcterms:modified>
</cp:coreProperties>
</file>